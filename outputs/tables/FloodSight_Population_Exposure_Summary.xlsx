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f8dc3ecd43446f" /></Relationships>
</file>

<file path=xl/workbook.xml><?xml version="1.0" encoding="utf-8"?>
<x:workbook xmlns:x="http://schemas.openxmlformats.org/spreadsheetml/2006/main">
  <x:sheets>
    <x:sheet xmlns:r="http://schemas.openxmlformats.org/officeDocument/2006/relationships" name="Overview" sheetId="1" r:id="R9c08020474bc4911"/>
    <x:sheet xmlns:r="http://schemas.openxmlformats.org/officeDocument/2006/relationships" name="Risk Class Summary" sheetId="2" r:id="R38a2c96238c04bbf"/>
    <x:sheet xmlns:r="http://schemas.openxmlformats.org/officeDocument/2006/relationships" name="LGA Summary" sheetId="3" r:id="R1699c95ba9a74d50"/>
    <x:sheet xmlns:r="http://schemas.openxmlformats.org/officeDocument/2006/relationships" name="Data Dictionary" sheetId="4" r:id="R28debc16d51a45e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
  </x:numFmts>
  <x:fonts count="9">
    <x:font>
      <x:sz val="11"/>
      <x:name val="Carlito"/>
    </x:font>
    <x:font>
      <x:b/>
      <x:sz val="18"/>
      <x:color rgb="FFFFFF"/>
      <x:name val="Carlito"/>
    </x:font>
    <x:font>
      <x:i/>
      <x:sz val="11"/>
      <x:color rgb="CBD5E1"/>
      <x:name val="Carlito"/>
    </x:font>
    <x:font>
      <x:b/>
      <x:sz val="11"/>
      <x:color rgb="334155"/>
      <x:name val="Carlito"/>
    </x:font>
    <x:font>
      <x:b/>
      <x:sz val="12"/>
      <x:color rgb="0F172A"/>
      <x:name val="Carlito"/>
    </x:font>
    <x:font>
      <x:b/>
      <x:sz val="11"/>
      <x:color rgb="0F172A"/>
      <x:name val="Carlito"/>
    </x:font>
    <x:font>
      <x:sz val="11"/>
      <x:color rgb="334155"/>
      <x:name val="Carlito"/>
    </x:font>
    <x:font>
      <x:b/>
      <x:sz val="11"/>
      <x:color rgb="FFFFFF"/>
      <x:name val="Carlito"/>
    </x:font>
    <x:font>
      <x:sz val="11"/>
      <x:color rgb="0F172A"/>
      <x:name val="Carlito"/>
    </x:font>
  </x:fonts>
  <x:fills count="12">
    <x:fill>
      <x:patternFill patternType="none"/>
    </x:fill>
    <x:fill>
      <x:patternFill patternType="gray125"/>
    </x:fill>
    <x:fill>
      <x:patternFill patternType="solid">
        <x:fgColor rgb="0F172A"/>
      </x:patternFill>
    </x:fill>
    <x:fill>
      <x:patternFill patternType="solid">
        <x:fgColor rgb="1E293B"/>
      </x:patternFill>
    </x:fill>
    <x:fill>
      <x:patternFill patternType="solid">
        <x:fgColor rgb="F8FAFC"/>
      </x:patternFill>
    </x:fill>
    <x:fill>
      <x:patternFill patternType="solid">
        <x:fgColor rgb="CCFBF1"/>
      </x:patternFill>
    </x:fill>
    <x:fill>
      <x:patternFill patternType="solid">
        <x:fgColor rgb="E2E8F0"/>
      </x:patternFill>
    </x:fill>
    <x:fill>
      <x:patternFill patternType="solid">
        <x:fgColor rgb="0F766E"/>
      </x:patternFill>
    </x:fill>
    <x:fill>
      <x:patternFill patternType="solid">
        <x:fgColor rgb="DCFCE7"/>
      </x:patternFill>
    </x:fill>
    <x:fill>
      <x:patternFill patternType="solid">
        <x:fgColor rgb="FEF3C7"/>
      </x:patternFill>
    </x:fill>
    <x:fill>
      <x:patternFill patternType="solid">
        <x:fgColor rgb="FED7AA"/>
      </x:patternFill>
    </x:fill>
    <x:fill>
      <x:patternFill patternType="solid">
        <x:fgColor rgb="FEE2E2"/>
      </x:patternFill>
    </x:fill>
  </x:fills>
  <x:borders count="2">
    <x:border/>
    <x:border/>
  </x:borders>
  <x:cellStyleXfs count="1">
    <x:xf numFmtId="0" fontId="0" fillId="0" borderId="0"/>
  </x:cellStyleXfs>
  <x:cellXfs count="1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right"/>
    </x:xf>
    <x:xf numFmtId="0" fontId="4" fillId="5" borderId="0" xfId="0" applyNumberFormat="1" applyFont="1" applyFill="1" applyBorder="1" applyAlignment="1">
      <x:alignment horizontal="righ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right"/>
    </x:xf>
    <x:xf numFmtId="0" fontId="4" fillId="5" borderId="1" xfId="0" applyNumberFormat="1" applyFont="1" applyFill="1" applyBorder="1" applyAlignment="1">
      <x:alignment horizontal="right" vertical="center"/>
    </x:xf>
    <x:xf numFmtId="200" fontId="4" fillId="5" borderId="0" xfId="0" applyNumberFormat="1" applyFont="1" applyFill="1" applyBorder="1" applyAlignment="1">
      <x:alignment horizontal="right" vertical="center"/>
    </x:xf>
    <x:xf numFmtId="200" fontId="4" fillId="5" borderId="1" xfId="0" applyNumberFormat="1" applyFont="1" applyFill="1" applyBorder="1" applyAlignment="1">
      <x:alignment horizontal="right" vertical="center"/>
    </x:xf>
    <x:xf numFmtId="201" fontId="4" fillId="5" borderId="0" xfId="0" applyNumberFormat="1" applyFont="1" applyFill="1" applyBorder="1" applyAlignment="1">
      <x:alignment horizontal="right" vertical="center"/>
    </x:xf>
    <x:xf numFmtId="201" fontId="4" fillId="5" borderId="1" xfId="0" applyNumberFormat="1" applyFont="1" applyFill="1" applyBorder="1" applyAlignment="1">
      <x:alignment horizontal="right" vertical="center"/>
    </x:xf>
    <x:xf numFmtId="202" fontId="4" fillId="5" borderId="0" xfId="0" applyNumberFormat="1" applyFont="1" applyFill="1" applyBorder="1" applyAlignment="1">
      <x:alignment horizontal="right" vertical="center"/>
    </x:xf>
    <x:xf numFmtId="202" fontId="4" fillId="5" borderId="1" xfId="0" applyNumberFormat="1" applyFont="1" applyFill="1" applyBorder="1" applyAlignment="1">
      <x:alignment horizontal="righ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center" wrapText="1"/>
    </x:xf>
    <x:xf numFmtId="0" fontId="7" fillId="7" borderId="0" xfId="0" applyNumberFormat="1" applyFont="1" applyFill="1" applyBorder="1" applyAlignment="1">
      <x:alignment horizontal="center" vertical="center"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horizontal="center" wrapText="1"/>
    </x:xf>
    <x:xf numFmtId="0" fontId="7" fillId="7"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right"/>
    </x:xf>
    <x:xf numFmtId="0" fontId="0" fillId="0" borderId="0" xfId="0" applyNumberFormat="1" applyFont="1" applyFill="1" applyBorder="1" applyAlignment="1">
      <x:alignment horizontal="right" vertical="center"/>
    </x:xf>
    <x:xf numFmtId="0" fontId="0" fillId="0" borderId="1" xfId="0" applyNumberFormat="1" applyFont="1" applyFill="1" applyBorder="1" applyAlignment="1">
      <x:alignment horizontal="right"/>
    </x:xf>
    <x:xf numFmtId="0" fontId="0" fillId="0" borderId="1" xfId="0" applyNumberFormat="1" applyFont="1" applyFill="1" applyBorder="1" applyAlignment="1">
      <x:alignment horizontal="right" vertical="center"/>
    </x:xf>
    <x:xf numFmtId="0" fontId="0" fillId="0" borderId="0" xfId="0" applyNumberFormat="1" applyFont="1" applyFill="1" applyBorder="1" applyAlignment="1">
      <x:alignment horizontal="left" vertical="center"/>
    </x:xf>
    <x:xf numFmtId="0" fontId="0" fillId="0" borderId="1" xfId="0" applyNumberFormat="1" applyFont="1" applyFill="1" applyBorder="1" applyAlignment="1">
      <x:alignment horizontal="left" vertical="center"/>
    </x:xf>
    <x:xf numFmtId="200" fontId="0" fillId="0" borderId="0" xfId="0" applyNumberFormat="1" applyFont="1" applyFill="1" applyBorder="1" applyAlignment="1">
      <x:alignment horizontal="right" vertical="center"/>
    </x:xf>
    <x:xf numFmtId="200" fontId="0" fillId="0" borderId="1" xfId="0" applyNumberFormat="1" applyFont="1" applyFill="1" applyBorder="1" applyAlignment="1">
      <x:alignment horizontal="right" vertical="center"/>
    </x:xf>
    <x:xf numFmtId="201" fontId="0" fillId="0" borderId="0" xfId="0" applyNumberFormat="1" applyFont="1" applyFill="1" applyBorder="1" applyAlignment="1">
      <x:alignment horizontal="right" vertical="center"/>
    </x:xf>
    <x:xf numFmtId="201" fontId="0" fillId="0" borderId="1" xfId="0" applyNumberFormat="1" applyFont="1" applyFill="1" applyBorder="1" applyAlignment="1">
      <x:alignment horizontal="right" vertical="center"/>
    </x:xf>
    <x:xf numFmtId="202" fontId="0" fillId="0" borderId="0" xfId="0" applyNumberFormat="1" applyFont="1" applyFill="1" applyBorder="1" applyAlignment="1">
      <x:alignment horizontal="right" vertical="center"/>
    </x:xf>
    <x:xf numFmtId="202" fontId="0" fillId="0" borderId="1" xfId="0" applyNumberFormat="1" applyFont="1" applyFill="1" applyBorder="1" applyAlignment="1">
      <x:alignment horizontal="right" vertical="center"/>
    </x:xf>
    <x:xf numFmtId="0" fontId="0" fillId="8" borderId="0" xfId="0" applyNumberFormat="1" applyFont="1" applyFill="1" applyBorder="1" applyAlignment="1">
      <x:alignment horizontal="left" vertical="center"/>
    </x:xf>
    <x:xf numFmtId="200" fontId="0" fillId="8" borderId="0" xfId="0" applyNumberFormat="1" applyFont="1" applyFill="1" applyBorder="1" applyAlignment="1">
      <x:alignment horizontal="right" vertical="center"/>
    </x:xf>
    <x:xf numFmtId="201" fontId="0" fillId="8" borderId="0" xfId="0" applyNumberFormat="1" applyFont="1" applyFill="1" applyBorder="1" applyAlignment="1">
      <x:alignment horizontal="right" vertical="center"/>
    </x:xf>
    <x:xf numFmtId="202" fontId="0" fillId="8" borderId="0" xfId="0" applyNumberFormat="1" applyFont="1" applyFill="1" applyBorder="1" applyAlignment="1">
      <x:alignment horizontal="right" vertical="center"/>
    </x:xf>
    <x:xf numFmtId="0" fontId="0" fillId="8" borderId="1" xfId="0" applyNumberFormat="1" applyFont="1" applyFill="1" applyBorder="1" applyAlignment="1">
      <x:alignment horizontal="left" vertical="center"/>
    </x:xf>
    <x:xf numFmtId="200" fontId="0" fillId="8" borderId="1" xfId="0" applyNumberFormat="1" applyFont="1" applyFill="1" applyBorder="1" applyAlignment="1">
      <x:alignment horizontal="right" vertical="center"/>
    </x:xf>
    <x:xf numFmtId="201" fontId="0" fillId="8" borderId="1" xfId="0" applyNumberFormat="1" applyFont="1" applyFill="1" applyBorder="1" applyAlignment="1">
      <x:alignment horizontal="right" vertical="center"/>
    </x:xf>
    <x:xf numFmtId="202" fontId="0" fillId="8" borderId="1" xfId="0" applyNumberFormat="1" applyFont="1" applyFill="1" applyBorder="1" applyAlignment="1">
      <x:alignment horizontal="right" vertical="center"/>
    </x:xf>
    <x:xf numFmtId="0" fontId="0" fillId="9" borderId="0" xfId="0" applyNumberFormat="1" applyFont="1" applyFill="1" applyBorder="1" applyAlignment="1">
      <x:alignment horizontal="left" vertical="center"/>
    </x:xf>
    <x:xf numFmtId="200" fontId="0" fillId="9" borderId="0" xfId="0" applyNumberFormat="1" applyFont="1" applyFill="1" applyBorder="1" applyAlignment="1">
      <x:alignment horizontal="right" vertical="center"/>
    </x:xf>
    <x:xf numFmtId="201" fontId="0" fillId="9" borderId="0" xfId="0" applyNumberFormat="1" applyFont="1" applyFill="1" applyBorder="1" applyAlignment="1">
      <x:alignment horizontal="right" vertical="center"/>
    </x:xf>
    <x:xf numFmtId="202" fontId="0" fillId="9" borderId="0" xfId="0" applyNumberFormat="1" applyFont="1" applyFill="1" applyBorder="1" applyAlignment="1">
      <x:alignment horizontal="right" vertical="center"/>
    </x:xf>
    <x:xf numFmtId="0" fontId="0" fillId="9" borderId="1" xfId="0" applyNumberFormat="1" applyFont="1" applyFill="1" applyBorder="1" applyAlignment="1">
      <x:alignment horizontal="left" vertical="center"/>
    </x:xf>
    <x:xf numFmtId="200" fontId="0" fillId="9" borderId="1" xfId="0" applyNumberFormat="1" applyFont="1" applyFill="1" applyBorder="1" applyAlignment="1">
      <x:alignment horizontal="right" vertical="center"/>
    </x:xf>
    <x:xf numFmtId="201" fontId="0" fillId="9" borderId="1" xfId="0" applyNumberFormat="1" applyFont="1" applyFill="1" applyBorder="1" applyAlignment="1">
      <x:alignment horizontal="right" vertical="center"/>
    </x:xf>
    <x:xf numFmtId="202" fontId="0" fillId="9" borderId="1" xfId="0" applyNumberFormat="1" applyFont="1" applyFill="1" applyBorder="1" applyAlignment="1">
      <x:alignment horizontal="right" vertical="center"/>
    </x:xf>
    <x:xf numFmtId="0" fontId="0" fillId="10" borderId="0" xfId="0" applyNumberFormat="1" applyFont="1" applyFill="1" applyBorder="1" applyAlignment="1">
      <x:alignment horizontal="left" vertical="center"/>
    </x:xf>
    <x:xf numFmtId="200" fontId="0" fillId="10" borderId="0" xfId="0" applyNumberFormat="1" applyFont="1" applyFill="1" applyBorder="1" applyAlignment="1">
      <x:alignment horizontal="right" vertical="center"/>
    </x:xf>
    <x:xf numFmtId="201" fontId="0" fillId="10" borderId="0" xfId="0" applyNumberFormat="1" applyFont="1" applyFill="1" applyBorder="1" applyAlignment="1">
      <x:alignment horizontal="right" vertical="center"/>
    </x:xf>
    <x:xf numFmtId="202" fontId="0" fillId="10" borderId="0" xfId="0" applyNumberFormat="1" applyFont="1" applyFill="1" applyBorder="1" applyAlignment="1">
      <x:alignment horizontal="right" vertical="center"/>
    </x:xf>
    <x:xf numFmtId="0" fontId="0" fillId="10" borderId="1" xfId="0" applyNumberFormat="1" applyFont="1" applyFill="1" applyBorder="1" applyAlignment="1">
      <x:alignment horizontal="left" vertical="center"/>
    </x:xf>
    <x:xf numFmtId="200" fontId="0" fillId="10" borderId="1" xfId="0" applyNumberFormat="1" applyFont="1" applyFill="1" applyBorder="1" applyAlignment="1">
      <x:alignment horizontal="right" vertical="center"/>
    </x:xf>
    <x:xf numFmtId="201" fontId="0" fillId="10" borderId="1" xfId="0" applyNumberFormat="1" applyFont="1" applyFill="1" applyBorder="1" applyAlignment="1">
      <x:alignment horizontal="right" vertical="center"/>
    </x:xf>
    <x:xf numFmtId="202" fontId="0" fillId="10" borderId="1" xfId="0" applyNumberFormat="1" applyFont="1" applyFill="1" applyBorder="1" applyAlignment="1">
      <x:alignment horizontal="right" vertical="center"/>
    </x:xf>
    <x:xf numFmtId="0" fontId="0" fillId="11" borderId="0" xfId="0" applyNumberFormat="1" applyFont="1" applyFill="1" applyBorder="1" applyAlignment="1">
      <x:alignment horizontal="left" vertical="center"/>
    </x:xf>
    <x:xf numFmtId="200" fontId="0" fillId="11" borderId="0" xfId="0" applyNumberFormat="1" applyFont="1" applyFill="1" applyBorder="1" applyAlignment="1">
      <x:alignment horizontal="right" vertical="center"/>
    </x:xf>
    <x:xf numFmtId="201" fontId="0" fillId="11" borderId="0" xfId="0" applyNumberFormat="1" applyFont="1" applyFill="1" applyBorder="1" applyAlignment="1">
      <x:alignment horizontal="right" vertical="center"/>
    </x:xf>
    <x:xf numFmtId="202" fontId="0" fillId="11" borderId="0" xfId="0" applyNumberFormat="1" applyFont="1" applyFill="1" applyBorder="1" applyAlignment="1">
      <x:alignment horizontal="right" vertical="center"/>
    </x:xf>
    <x:xf numFmtId="0" fontId="0" fillId="11" borderId="1" xfId="0" applyNumberFormat="1" applyFont="1" applyFill="1" applyBorder="1" applyAlignment="1">
      <x:alignment horizontal="left" vertical="center"/>
    </x:xf>
    <x:xf numFmtId="200" fontId="0" fillId="11" borderId="1" xfId="0" applyNumberFormat="1" applyFont="1" applyFill="1" applyBorder="1" applyAlignment="1">
      <x:alignment horizontal="right" vertical="center"/>
    </x:xf>
    <x:xf numFmtId="201" fontId="0" fillId="11" borderId="1" xfId="0" applyNumberFormat="1" applyFont="1" applyFill="1" applyBorder="1" applyAlignment="1">
      <x:alignment horizontal="right" vertical="center"/>
    </x:xf>
    <x:xf numFmtId="202" fontId="0" fillId="11" borderId="1" xfId="0" applyNumberFormat="1" applyFont="1" applyFill="1" applyBorder="1" applyAlignment="1">
      <x:alignment horizontal="right" vertical="center"/>
    </x:xf>
    <x:xf numFmtId="0" fontId="5" fillId="4" borderId="0" xfId="0" applyNumberFormat="1" applyFont="1" applyFill="1" applyBorder="1"/>
    <x:xf numFmtId="0" fontId="5" fillId="4" borderId="1"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9" borderId="0" xfId="0" applyNumberFormat="1" applyFont="1" applyFill="1" applyBorder="1"/>
    <x:xf numFmtId="200" fontId="0" fillId="9" borderId="0" xfId="0" applyNumberFormat="1" applyFont="1" applyFill="1" applyBorder="1"/>
    <x:xf numFmtId="201" fontId="0" fillId="9" borderId="0" xfId="0" applyNumberFormat="1" applyFont="1" applyFill="1" applyBorder="1"/>
    <x:xf numFmtId="0" fontId="0" fillId="9" borderId="1" xfId="0" applyNumberFormat="1" applyFont="1" applyFill="1" applyBorder="1"/>
    <x:xf numFmtId="200" fontId="0" fillId="9" borderId="1" xfId="0" applyNumberFormat="1" applyFont="1" applyFill="1" applyBorder="1"/>
    <x:xf numFmtId="201" fontId="0" fillId="9" borderId="1" xfId="0" applyNumberFormat="1" applyFont="1" applyFill="1" applyBorder="1"/>
    <x:xf numFmtId="0" fontId="0" fillId="10" borderId="0" xfId="0" applyNumberFormat="1" applyFont="1" applyFill="1" applyBorder="1"/>
    <x:xf numFmtId="200" fontId="0" fillId="10" borderId="0" xfId="0" applyNumberFormat="1" applyFont="1" applyFill="1" applyBorder="1"/>
    <x:xf numFmtId="201" fontId="0" fillId="10" borderId="0" xfId="0" applyNumberFormat="1" applyFont="1" applyFill="1" applyBorder="1"/>
    <x:xf numFmtId="0" fontId="0" fillId="10" borderId="1" xfId="0" applyNumberFormat="1" applyFont="1" applyFill="1" applyBorder="1"/>
    <x:xf numFmtId="200" fontId="0" fillId="10" borderId="1" xfId="0" applyNumberFormat="1" applyFont="1" applyFill="1" applyBorder="1"/>
    <x:xf numFmtId="201" fontId="0" fillId="10" borderId="1" xfId="0" applyNumberFormat="1" applyFont="1" applyFill="1" applyBorder="1"/>
    <x:xf numFmtId="0" fontId="0" fillId="8" borderId="0" xfId="0" applyNumberFormat="1" applyFont="1" applyFill="1" applyBorder="1"/>
    <x:xf numFmtId="200" fontId="0" fillId="8" borderId="0" xfId="0" applyNumberFormat="1" applyFont="1" applyFill="1" applyBorder="1"/>
    <x:xf numFmtId="201" fontId="0" fillId="8" borderId="0" xfId="0" applyNumberFormat="1" applyFont="1" applyFill="1" applyBorder="1"/>
    <x:xf numFmtId="0" fontId="0" fillId="8" borderId="1" xfId="0" applyNumberFormat="1" applyFont="1" applyFill="1" applyBorder="1"/>
    <x:xf numFmtId="200" fontId="0" fillId="8" borderId="1" xfId="0" applyNumberFormat="1" applyFont="1" applyFill="1" applyBorder="1"/>
    <x:xf numFmtId="201" fontId="0" fillId="8" borderId="1" xfId="0" applyNumberFormat="1" applyFont="1" applyFill="1" applyBorder="1"/>
    <x:xf numFmtId="0" fontId="0" fillId="11" borderId="0" xfId="0" applyNumberFormat="1" applyFont="1" applyFill="1" applyBorder="1"/>
    <x:xf numFmtId="200" fontId="0" fillId="11" borderId="0" xfId="0" applyNumberFormat="1" applyFont="1" applyFill="1" applyBorder="1"/>
    <x:xf numFmtId="201" fontId="0" fillId="11" borderId="0" xfId="0" applyNumberFormat="1" applyFont="1" applyFill="1" applyBorder="1"/>
    <x:xf numFmtId="0" fontId="0" fillId="11" borderId="1" xfId="0" applyNumberFormat="1" applyFont="1" applyFill="1" applyBorder="1"/>
    <x:xf numFmtId="200" fontId="0" fillId="11" borderId="1" xfId="0" applyNumberFormat="1" applyFont="1" applyFill="1" applyBorder="1"/>
    <x:xf numFmtId="201" fontId="0" fillId="11" borderId="1"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8" fillId="9" borderId="1" xfId="0" applyNumberFormat="1" applyFont="1" applyFill="1" applyBorder="1"/>
    <x:xf numFmtId="0" fontId="8" fillId="9" borderId="1" xfId="0" applyNumberFormat="1" applyFont="1" applyFill="1" applyBorder="1" applyAlignment="1">
      <x:alignment wrapText="1"/>
    </x:xf>
    <x:xf numFmtId="0" fontId="8" fillId="9"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9e69cdb88c46dc" /><Relationship Type="http://schemas.openxmlformats.org/officeDocument/2006/relationships/theme" Target="/xl/theme/theme1.xml" Id="Ra9a2acb86dd14e2b" /><Relationship Type="http://schemas.openxmlformats.org/officeDocument/2006/relationships/sharedStrings" Target="/xl/sharedStrings.xml" Id="R53b7442a4df24ab2" /><Relationship Type="http://schemas.openxmlformats.org/officeDocument/2006/relationships/worksheet" Target="/xl/worksheets/sheet1.xml" Id="R9c08020474bc4911" /><Relationship Type="http://schemas.openxmlformats.org/officeDocument/2006/relationships/worksheet" Target="/xl/worksheets/sheet2.xml" Id="R38a2c96238c04bbf" /><Relationship Type="http://schemas.openxmlformats.org/officeDocument/2006/relationships/worksheet" Target="/xl/worksheets/sheet3.xml" Id="R1699c95ba9a74d50" /><Relationship Type="http://schemas.openxmlformats.org/officeDocument/2006/relationships/worksheet" Target="/xl/worksheets/sheet4.xml" Id="R28debc16d51a45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fe3ddce3bfa7425d"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Population</c:v>
          </c:tx>
          <c:cat>
            <c:strRef>
              <c:f>'Overview'!$A$11:$A$14</c:f>
              <c:strCache>
                <c:ptCount val="0"/>
              </c:strCache>
            </c:strRef>
          </c:cat>
          <c:val>
            <c:numRef>
              <c:f>'Overview'!$C$11:$C$14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8</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3ddce3bfa7425d"/>
        </a:graphicData>
      </a:graphic>
    </xdr:graphicFrame>
    <xdr:clientData/>
  </xdr:twoCellAnchor>
</xdr:wsDr>
</file>

<file path=xl/tables/table1.xml><?xml version="1.0" encoding="utf-8"?>
<x:table xmlns:x="http://schemas.openxmlformats.org/spreadsheetml/2006/main" id="1" name="RiskSummaryTable" displayName="RiskSummaryTable" ref="A10:H14" headerRowCount="1">
  <x:tableColumns count="8">
    <x:tableColumn id="1" name="Risk class"/>
    <x:tableColumn id="2" name="Grid cells"/>
    <x:tableColumn id="3" name="Population sum"/>
    <x:tableColumn id="4" name="Population share"/>
    <x:tableColumn id="5" name="Mean pop/cell"/>
    <x:tableColumn id="6" name="Median pop/cell"/>
    <x:tableColumn id="7" name="Max pop/cell"/>
    <x:tableColumn id="8" name="Std. dev."/>
  </x:tableColumns>
  <x:tableStyleInfo name="TableStyleMedium2" showRowStripes="1"/>
</x:table>
</file>

<file path=xl/tables/table2.xml><?xml version="1.0" encoding="utf-8"?>
<x:table xmlns:x="http://schemas.openxmlformats.org/spreadsheetml/2006/main" id="2" name="PopulationByRiskClassTable" displayName="PopulationByRiskClassTable" ref="A4:O8" headerRowCount="1">
  <x:tableColumns count="15">
    <x:tableColumn id="1" name="risk_class"/>
    <x:tableColumn id="2" name="count"/>
    <x:tableColumn id="3" name="unique"/>
    <x:tableColumn id="4" name="min"/>
    <x:tableColumn id="5" name="max"/>
    <x:tableColumn id="6" name="range"/>
    <x:tableColumn id="7" name="sum"/>
    <x:tableColumn id="8" name="mean"/>
    <x:tableColumn id="9" name="median"/>
    <x:tableColumn id="10" name="stddev"/>
    <x:tableColumn id="11" name="minority"/>
    <x:tableColumn id="12" name="majority"/>
    <x:tableColumn id="13" name="q1"/>
    <x:tableColumn id="14" name="q3"/>
    <x:tableColumn id="15" name="iqr"/>
  </x:tableColumns>
  <x:tableStyleInfo name="TableStyleMedium2" showRowStripes="1"/>
</x:table>
</file>

<file path=xl/tables/table3.xml><?xml version="1.0" encoding="utf-8"?>
<x:table xmlns:x="http://schemas.openxmlformats.org/spreadsheetml/2006/main" id="3" name="DataDictionaryTable" displayName="DataDictionaryTable" ref="A3:D10" headerRowCount="1">
  <x:tableColumns count="4">
    <x:tableColumn id="1" name="Field"/>
    <x:tableColumn id="2" name="Meaning"/>
    <x:tableColumn id="3" name="Typical source"/>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ee96281dff24f16" /><Relationship Type="http://schemas.openxmlformats.org/officeDocument/2006/relationships/table" Target="/xl/tables/table1.xml" Id="R175b9a55fe054178" /></Relationships>
</file>

<file path=xl/worksheets/_rels/sheet2.xml.rels>&#65279;<?xml version="1.0" encoding="utf-8"?><Relationships xmlns="http://schemas.openxmlformats.org/package/2006/relationships"><Relationship Type="http://schemas.openxmlformats.org/officeDocument/2006/relationships/table" Target="/xl/tables/table2.xml" Id="R047b71a0fb554657" /></Relationships>
</file>

<file path=xl/worksheets/_rels/sheet4.xml.rels>&#65279;<?xml version="1.0" encoding="utf-8"?><Relationships xmlns="http://schemas.openxmlformats.org/package/2006/relationships"><Relationship Type="http://schemas.openxmlformats.org/officeDocument/2006/relationships/table" Target="/xl/tables/table3.xml" Id="R98555360ad234add" /></Relationships>
</file>

<file path=xl/worksheets/sheet1.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1.600000381469727" hidden="0" customHeight="1">
      <x:c r="A1" s="5" t="str">
        <x:v>FloodSight Population Exposure Summary</x:v>
      </x:c>
      <x:c r="B1" s="5"/>
      <x:c r="C1" s="5"/>
      <x:c r="D1" s="5"/>
      <x:c r="E1" s="5"/>
      <x:c r="F1" s="5"/>
      <x:c r="G1" s="5"/>
      <x:c r="H1" s="5"/>
    </x:row>
    <x:row r="2" ht="15" hidden="0" customHeight="1">
      <x:c r="A2" s="14" t="str">
        <x:v>Pilot statistics generated from FloodSight QGIS outputs. This workbook summarises population exposure by flood-risk class and LGA export status.</x:v>
      </x:c>
      <x:c r="B2" s="14"/>
      <x:c r="C2" s="14"/>
      <x:c r="D2" s="14"/>
      <x:c r="E2" s="14"/>
      <x:c r="F2" s="14"/>
      <x:c r="G2" s="14"/>
      <x:c r="H2" s="14"/>
    </x:row>
    <x:row r="3"/>
    <x:row r="4" ht="15" hidden="0" customHeight="1">
      <x:c r="A4" s="23" t="str">
        <x:v>Total grid cells</x:v>
      </x:c>
      <x:c r="B4" s="23"/>
      <x:c r="C4" s="36" t="n">
        <x:v>314880</x:v>
      </x:c>
      <x:c r="E4" s="45" t="str">
        <x:v>Interpretation</x:v>
      </x:c>
      <x:c r="F4" s="45"/>
      <x:c r="G4" s="45"/>
      <x:c r="H4" s="45"/>
    </x:row>
    <x:row r="5" ht="36" hidden="0" customHeight="1">
      <x:c r="A5" s="23" t="str">
        <x:v>Estimated total population</x:v>
      </x:c>
      <x:c r="B5" s="23"/>
      <x:c r="C5" s="38" t="n">
        <x:v>1566758.862034188</x:v>
      </x:c>
      <x:c r="E5" s="52" t="str">
        <x:v>The FloodSight pilot output shows most estimated population exposure concentrated in the High risk class. Very High and Low classes currently show zero population in this export, which may reflect the selected scoring thresholds, population raster alignment, or the small number of cells in those classes.</x:v>
      </x:c>
      <x:c r="F5" s="52"/>
      <x:c r="G5" s="52"/>
      <x:c r="H5" s="52"/>
    </x:row>
    <x:row r="6" ht="36" hidden="0" customHeight="1">
      <x:c r="A6" s="23" t="str">
        <x:v>Population in High / Very High risk</x:v>
      </x:c>
      <x:c r="B6" s="23"/>
      <x:c r="C6" s="38" t="n">
        <x:v>1383403.04839405</x:v>
      </x:c>
      <x:c r="E6" s="52"/>
      <x:c r="F6" s="52"/>
      <x:c r="G6" s="52"/>
      <x:c r="H6" s="52"/>
    </x:row>
    <x:row r="7" ht="36" hidden="0" customHeight="1">
      <x:c r="A7" s="23" t="str">
        <x:v>Share of population in High / Very High risk</x:v>
      </x:c>
      <x:c r="B7" s="23"/>
      <x:c r="C7" s="40" t="n">
        <x:f>IF(C5=0,0,C6/C5)</x:f>
        <x:v>0.8829712611919874</x:v>
      </x:c>
      <x:c r="E7" s="52"/>
      <x:c r="F7" s="52"/>
      <x:c r="G7" s="52"/>
      <x:c r="H7" s="52"/>
    </x:row>
    <x:row r="8"/>
    <x:row r="9"/>
    <x:row r="10" ht="15" hidden="0" customHeight="1">
      <x:c r="A10" s="60" t="str">
        <x:v>Risk class</x:v>
      </x:c>
      <x:c r="B10" s="60" t="str">
        <x:v>Grid cells</x:v>
      </x:c>
      <x:c r="C10" s="60" t="str">
        <x:v>Population sum</x:v>
      </x:c>
      <x:c r="D10" s="60" t="str">
        <x:v>Population share</x:v>
      </x:c>
      <x:c r="E10" s="60" t="str">
        <x:v>Mean pop/cell</x:v>
      </x:c>
      <x:c r="F10" s="60" t="str">
        <x:v>Median pop/cell</x:v>
      </x:c>
      <x:c r="G10" s="60" t="str">
        <x:v>Max pop/cell</x:v>
      </x:c>
      <x:c r="H10" s="60" t="str">
        <x:v>Std. dev.</x:v>
      </x:c>
    </x:row>
    <x:row r="11" ht="15" hidden="0" customHeight="1">
      <x:c r="A11" s="78" t="str">
        <x:v>Low</x:v>
      </x:c>
      <x:c r="B11" s="79" t="n">
        <x:v>5</x:v>
      </x:c>
      <x:c r="C11" s="80" t="n">
        <x:v>0</x:v>
      </x:c>
      <x:c r="D11" s="81" t="n">
        <x:v>0</x:v>
      </x:c>
      <x:c r="E11" s="80" t="n">
        <x:v>0</x:v>
      </x:c>
      <x:c r="F11" s="80" t="n">
        <x:v>0</x:v>
      </x:c>
      <x:c r="G11" s="80" t="n">
        <x:v>0</x:v>
      </x:c>
      <x:c r="H11" s="80" t="n">
        <x:v>0</x:v>
      </x:c>
    </x:row>
    <x:row r="12" ht="15" hidden="0" customHeight="1">
      <x:c r="A12" s="86" t="str">
        <x:v>Moderate</x:v>
      </x:c>
      <x:c r="B12" s="87" t="n">
        <x:v>65978</x:v>
      </x:c>
      <x:c r="C12" s="88" t="n">
        <x:v>183355.813640138</x:v>
      </x:c>
      <x:c r="D12" s="89" t="n">
        <x:v>0.11702873880801258</x:v>
      </x:c>
      <x:c r="E12" s="88" t="n">
        <x:v>2.77904473673252</x:v>
      </x:c>
      <x:c r="F12" s="88" t="n">
        <x:v>0.794905878543252</x:v>
      </x:c>
      <x:c r="G12" s="88" t="n">
        <x:v>23.8183862170117</x:v>
      </x:c>
      <x:c r="H12" s="88" t="n">
        <x:v>4.80845484025174</x:v>
      </x:c>
    </x:row>
    <x:row r="13" ht="15" hidden="0" customHeight="1">
      <x:c r="A13" s="94" t="str">
        <x:v>High</x:v>
      </x:c>
      <x:c r="B13" s="95" t="n">
        <x:v>248824</x:v>
      </x:c>
      <x:c r="C13" s="96" t="n">
        <x:v>1383403.04839405</x:v>
      </x:c>
      <x:c r="D13" s="97" t="n">
        <x:v>0.8829712611919874</x:v>
      </x:c>
      <x:c r="E13" s="96" t="n">
        <x:v>5.55976532968703</x:v>
      </x:c>
      <x:c r="F13" s="96" t="n">
        <x:v>4.68941345521655</x:v>
      </x:c>
      <x:c r="G13" s="96" t="n">
        <x:v>25.167267027814</x:v>
      </x:c>
      <x:c r="H13" s="96" t="n">
        <x:v>5.71943145224758</x:v>
      </x:c>
    </x:row>
    <x:row r="14" ht="15" hidden="0" customHeight="1">
      <x:c r="A14" s="102" t="str">
        <x:v>Very High</x:v>
      </x:c>
      <x:c r="B14" s="103" t="n">
        <x:v>73</x:v>
      </x:c>
      <x:c r="C14" s="104" t="n">
        <x:v>0</x:v>
      </x:c>
      <x:c r="D14" s="105" t="n">
        <x:v>0</x:v>
      </x:c>
      <x:c r="E14" s="104" t="n">
        <x:v>0</x:v>
      </x:c>
      <x:c r="F14" s="104" t="n">
        <x:v>0</x:v>
      </x:c>
      <x:c r="G14" s="104" t="n">
        <x:v>0</x:v>
      </x:c>
      <x:c r="H14" s="104" t="n">
        <x:v>0</x:v>
      </x:c>
    </x:row>
    <x:row r="15"/>
    <x:row r="16"/>
    <x:row r="17" ht="15" hidden="0" customHeight="1">
      <x:c r="A17" s="45" t="str">
        <x:v>Workbook Notes</x:v>
      </x:c>
      <x:c r="B17" s="45"/>
      <x:c r="C17" s="45"/>
      <x:c r="D17" s="45"/>
      <x:c r="E17" s="45"/>
      <x:c r="F17" s="45"/>
      <x:c r="G17" s="45"/>
      <x:c r="H17" s="45"/>
    </x:row>
    <x:row r="18" ht="28" hidden="0" customHeight="1">
      <x:c r="A18" s="110" t="str">
        <x:v>Source files</x:v>
      </x:c>
      <x:c r="B18" s="152" t="str">
        <x:v>population_by_risk_class.csv; population_by_lga.csv</x:v>
      </x:c>
      <x:c r="C18" s="152"/>
      <x:c r="D18" s="152"/>
      <x:c r="E18" s="152"/>
      <x:c r="F18" s="152"/>
      <x:c r="G18" s="152"/>
      <x:c r="H18" s="152"/>
    </x:row>
    <x:row r="19" ht="28" hidden="0" customHeight="1">
      <x:c r="A19" s="110" t="str">
        <x:v>Population metric</x:v>
      </x:c>
      <x:c r="B19" s="152" t="str">
        <x:v>Statistics were calculated from the QGIS field used for population exposure, typically pop_sum.</x:v>
      </x:c>
      <x:c r="C19" s="152"/>
      <x:c r="D19" s="152"/>
      <x:c r="E19" s="152"/>
      <x:c r="F19" s="152"/>
      <x:c r="G19" s="152"/>
      <x:c r="H19" s="152"/>
    </x:row>
    <x:row r="20" ht="28" hidden="0" customHeight="1">
      <x:c r="A20" s="110" t="str">
        <x:v>LGA summary</x:v>
      </x:c>
      <x:c r="B20" s="152" t="str">
        <x:v>The uploaded LGA CSV contains headers only and no exported records; see the LGA Summary sheet.</x:v>
      </x:c>
      <x:c r="C20" s="152"/>
      <x:c r="D20" s="152"/>
      <x:c r="E20" s="152"/>
      <x:c r="F20" s="152"/>
      <x:c r="G20" s="152"/>
      <x:c r="H20" s="152"/>
    </x:row>
    <x:row r="21" ht="28" hidden="0" customHeight="1">
      <x:c r="A21" s="110" t="str">
        <x:v>Recommended use</x:v>
      </x:c>
      <x:c r="B21" s="152" t="str">
        <x:v>Use this workbook for proposal evidence, internal review, and lightweight reporting. Keep large geospatial files outside GitHub.</x:v>
      </x:c>
      <x:c r="C21" s="152"/>
      <x:c r="D21" s="152"/>
      <x:c r="E21" s="152"/>
      <x:c r="F21" s="152"/>
      <x:c r="G21" s="152"/>
      <x:c r="H21" s="152"/>
    </x:row>
    <x:row r="22"/>
    <x:row r="23"/>
    <x:row r="24"/>
    <x:row r="25"/>
    <x:row r="26"/>
    <x:row r="27"/>
    <x:row r="28"/>
    <x:row r="29"/>
    <x:row r="30"/>
    <x:row r="31"/>
    <x:row r="32"/>
    <x:row r="33"/>
    <x:row r="34"/>
    <x:row r="35"/>
    <x:row r="36"/>
    <x:row r="37"/>
    <x:row r="38"/>
    <x:row r="39"/>
    <x:row r="40"/>
  </x:sheetData>
  <x:mergeCells>
    <x:mergeCell ref="A1:H1"/>
    <x:mergeCell ref="A2:H2"/>
    <x:mergeCell ref="A4:B4"/>
    <x:mergeCell ref="A5:B5"/>
    <x:mergeCell ref="A6:B6"/>
    <x:mergeCell ref="A7:B7"/>
    <x:mergeCell ref="E4:H4"/>
    <x:mergeCell ref="E5:H7"/>
    <x:mergeCell ref="A17:H17"/>
    <x:mergeCell ref="B18:H18"/>
    <x:mergeCell ref="B19:H19"/>
    <x:mergeCell ref="B20:H20"/>
    <x:mergeCell ref="B21:H21"/>
  </x:mergeCells>
  <x:pageMargins left="0.7" right="0.7" top="0.75" bottom="0.75" header="0.3" footer="0.3"/>
  <x:drawing xmlns:r="http://schemas.openxmlformats.org/officeDocument/2006/relationships" r:id="R9ee96281dff24f16"/>
  <x:tableParts count="1">
    <x:tablePart xmlns:r="http://schemas.openxmlformats.org/officeDocument/2006/relationships" r:id="R175b9a55fe054178"/>
  </x:tableParts>
</x:worksheet>
</file>

<file path=xl/worksheets/sheet2.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ht="21.600000381469727" hidden="0" customHeight="1">
      <x:c r="A1" s="5" t="str">
        <x:v>Population by Flood-Risk Class</x:v>
      </x:c>
      <x:c r="B1" s="5"/>
      <x:c r="C1" s="5"/>
      <x:c r="D1" s="5"/>
      <x:c r="E1" s="5"/>
      <x:c r="F1" s="5"/>
      <x:c r="G1" s="5"/>
      <x:c r="H1" s="5"/>
      <x:c r="I1" s="5"/>
      <x:c r="J1" s="5"/>
      <x:c r="K1" s="5"/>
      <x:c r="L1" s="5"/>
      <x:c r="M1" s="5"/>
      <x:c r="N1" s="5"/>
      <x:c r="O1" s="5"/>
    </x:row>
    <x:row r="2" ht="15" hidden="0" customHeight="1">
      <x:c r="A2" s="14" t="str">
        <x:v>Detailed statistics exported from QGIS Statistics by Categories. Values represent the population exposure field summarised by risk_class.</x:v>
      </x:c>
      <x:c r="B2" s="14"/>
      <x:c r="C2" s="14"/>
      <x:c r="D2" s="14"/>
      <x:c r="E2" s="14"/>
      <x:c r="F2" s="14"/>
      <x:c r="G2" s="14"/>
      <x:c r="H2" s="14"/>
      <x:c r="I2" s="14"/>
      <x:c r="J2" s="14"/>
      <x:c r="K2" s="14"/>
      <x:c r="L2" s="14"/>
      <x:c r="M2" s="14"/>
      <x:c r="N2" s="14"/>
      <x:c r="O2" s="14"/>
    </x:row>
    <x:row r="3"/>
    <x:row r="4" ht="15" hidden="0" customHeight="1">
      <x:c r="A4" s="60" t="str">
        <x:v>risk_class</x:v>
      </x:c>
      <x:c r="B4" s="60" t="str">
        <x:v>count</x:v>
      </x:c>
      <x:c r="C4" s="60" t="str">
        <x:v>unique</x:v>
      </x:c>
      <x:c r="D4" s="60" t="str">
        <x:v>min</x:v>
      </x:c>
      <x:c r="E4" s="60" t="str">
        <x:v>max</x:v>
      </x:c>
      <x:c r="F4" s="60" t="str">
        <x:v>range</x:v>
      </x:c>
      <x:c r="G4" s="60" t="str">
        <x:v>sum</x:v>
      </x:c>
      <x:c r="H4" s="60" t="str">
        <x:v>mean</x:v>
      </x:c>
      <x:c r="I4" s="60" t="str">
        <x:v>median</x:v>
      </x:c>
      <x:c r="J4" s="60" t="str">
        <x:v>stddev</x:v>
      </x:c>
      <x:c r="K4" s="60" t="str">
        <x:v>minority</x:v>
      </x:c>
      <x:c r="L4" s="60" t="str">
        <x:v>majority</x:v>
      </x:c>
      <x:c r="M4" s="60" t="str">
        <x:v>q1</x:v>
      </x:c>
      <x:c r="N4" s="60" t="str">
        <x:v>q3</x:v>
      </x:c>
      <x:c r="O4" s="60" t="str">
        <x:v>iqr</x:v>
      </x:c>
    </x:row>
    <x:row r="5" ht="15" hidden="0" customHeight="1">
      <x:c r="A5" s="120" t="str">
        <x:v>Moderate</x:v>
      </x:c>
      <x:c r="B5" s="121" t="n">
        <x:v>65978</x:v>
      </x:c>
      <x:c r="C5" s="121" t="n">
        <x:v>31849</x:v>
      </x:c>
      <x:c r="D5" s="122" t="n">
        <x:v>0</x:v>
      </x:c>
      <x:c r="E5" s="122" t="n">
        <x:v>23.8183862170117</x:v>
      </x:c>
      <x:c r="F5" s="122" t="n">
        <x:v>23.8183862170117</x:v>
      </x:c>
      <x:c r="G5" s="122" t="n">
        <x:v>183355.813640138</x:v>
      </x:c>
      <x:c r="H5" s="122" t="n">
        <x:v>2.77904473673252</x:v>
      </x:c>
      <x:c r="I5" s="122" t="n">
        <x:v>0.794905878543252</x:v>
      </x:c>
      <x:c r="J5" s="122" t="n">
        <x:v>4.80845484025174</x:v>
      </x:c>
      <x:c r="K5" s="122" t="n">
        <x:v>1.18521916991907e-7</x:v>
      </x:c>
      <x:c r="L5" s="122" t="n">
        <x:v>0</x:v>
      </x:c>
      <x:c r="M5" s="122" t="n">
        <x:v>0.0310761935268029</x:v>
      </x:c>
      <x:c r="N5" s="122" t="n">
        <x:v>2.86724810278925</x:v>
      </x:c>
      <x:c r="O5" s="122" t="n">
        <x:v>2.83617190926245</x:v>
      </x:c>
    </x:row>
    <x:row r="6" ht="15" hidden="0" customHeight="1">
      <x:c r="A6" s="126" t="str">
        <x:v>High</x:v>
      </x:c>
      <x:c r="B6" s="127" t="n">
        <x:v>248824</x:v>
      </x:c>
      <x:c r="C6" s="127" t="n">
        <x:v>109580</x:v>
      </x:c>
      <x:c r="D6" s="128" t="n">
        <x:v>0</x:v>
      </x:c>
      <x:c r="E6" s="128" t="n">
        <x:v>25.167267027814</x:v>
      </x:c>
      <x:c r="F6" s="128" t="n">
        <x:v>25.167267027814</x:v>
      </x:c>
      <x:c r="G6" s="128" t="n">
        <x:v>1383403.04839405</x:v>
      </x:c>
      <x:c r="H6" s="128" t="n">
        <x:v>5.55976532968703</x:v>
      </x:c>
      <x:c r="I6" s="128" t="n">
        <x:v>4.68941345521655</x:v>
      </x:c>
      <x:c r="J6" s="128" t="n">
        <x:v>5.71943145224758</x:v>
      </x:c>
      <x:c r="K6" s="128" t="n">
        <x:v>5.11016854876314e-8</x:v>
      </x:c>
      <x:c r="L6" s="128" t="n">
        <x:v>0</x:v>
      </x:c>
      <x:c r="M6" s="128" t="n">
        <x:v>0.0344563093903976</x:v>
      </x:c>
      <x:c r="N6" s="128" t="n">
        <x:v>8.02647232080434</x:v>
      </x:c>
      <x:c r="O6" s="128" t="n">
        <x:v>7.99201601141394</x:v>
      </x:c>
    </x:row>
    <x:row r="7" ht="15" hidden="0" customHeight="1">
      <x:c r="A7" s="132" t="str">
        <x:v>Low</x:v>
      </x:c>
      <x:c r="B7" s="133" t="n">
        <x:v>5</x:v>
      </x:c>
      <x:c r="C7" s="133" t="n">
        <x:v>1</x:v>
      </x:c>
      <x:c r="D7" s="134" t="n">
        <x:v>0</x:v>
      </x:c>
      <x:c r="E7" s="134" t="n">
        <x:v>0</x:v>
      </x:c>
      <x:c r="F7" s="134" t="n">
        <x:v>0</x:v>
      </x:c>
      <x:c r="G7" s="134" t="n">
        <x:v>0</x:v>
      </x:c>
      <x:c r="H7" s="134" t="n">
        <x:v>0</x:v>
      </x:c>
      <x:c r="I7" s="134" t="n">
        <x:v>0</x:v>
      </x:c>
      <x:c r="J7" s="134" t="n">
        <x:v>0</x:v>
      </x:c>
      <x:c r="K7" s="134" t="n">
        <x:v>0</x:v>
      </x:c>
      <x:c r="L7" s="134" t="n">
        <x:v>0</x:v>
      </x:c>
      <x:c r="M7" s="134" t="n">
        <x:v>0</x:v>
      </x:c>
      <x:c r="N7" s="134" t="n">
        <x:v>0</x:v>
      </x:c>
      <x:c r="O7" s="134" t="n">
        <x:v>0</x:v>
      </x:c>
    </x:row>
    <x:row r="8" ht="15" hidden="0" customHeight="1">
      <x:c r="A8" s="138" t="str">
        <x:v>Very High</x:v>
      </x:c>
      <x:c r="B8" s="139" t="n">
        <x:v>73</x:v>
      </x:c>
      <x:c r="C8" s="139" t="n">
        <x:v>1</x:v>
      </x:c>
      <x:c r="D8" s="140" t="n">
        <x:v>0</x:v>
      </x:c>
      <x:c r="E8" s="140" t="n">
        <x:v>0</x:v>
      </x:c>
      <x:c r="F8" s="140" t="n">
        <x:v>0</x:v>
      </x:c>
      <x:c r="G8" s="140" t="n">
        <x:v>0</x:v>
      </x:c>
      <x:c r="H8" s="140" t="n">
        <x:v>0</x:v>
      </x:c>
      <x:c r="I8" s="140" t="n">
        <x:v>0</x:v>
      </x:c>
      <x:c r="J8" s="140" t="n">
        <x:v>0</x:v>
      </x:c>
      <x:c r="K8" s="140" t="n">
        <x:v>0</x:v>
      </x:c>
      <x:c r="L8" s="140" t="n">
        <x:v>0</x:v>
      </x:c>
      <x:c r="M8" s="140" t="n">
        <x:v>0</x:v>
      </x:c>
      <x:c r="N8" s="140" t="n">
        <x:v>0</x:v>
      </x:c>
      <x:c r="O8" s="140" t="n">
        <x:v>0</x:v>
      </x:c>
    </x:row>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row r="40"/>
  </x:sheetData>
  <x:mergeCells>
    <x:mergeCell ref="A1:O1"/>
    <x:mergeCell ref="A2:O2"/>
  </x:mergeCells>
  <x:conditionalFormatting sqref="G5:G8">
    <x:cfRule type="dataBar" priority="1">
      <x:dataBar>
        <x:cfvo type="min"/>
        <x:cfvo type="max"/>
        <x:color rgb="0F766E"/>
      </x:dataBar>
      <x:extLst>
        <x:ext xmlns:x14="http://schemas.microsoft.com/office/spreadsheetml/2009/9/main" uri="{B025F937-C7B1-47D3-B67F-A62EFF666E3E}">
          <x14:id>{FA442C5D-EB0B-F2C9-BE4D-B86A0D6A06CD}</x14:id>
        </x:ext>
      </x:extLst>
    </x:cfRule>
  </x:conditionalFormatting>
  <x:pageMargins left="0.7" right="0.7" top="0.75" bottom="0.75" header="0.3" footer="0.3"/>
  <x:tableParts count="1">
    <x:tablePart xmlns:r="http://schemas.openxmlformats.org/officeDocument/2006/relationships" r:id="R047b71a0fb554657"/>
  </x:tableParts>
  <x:extLst>
    <x:ext xmlns:x14="http://schemas.microsoft.com/office/spreadsheetml/2009/9/main" xmlns:xm="http://schemas.microsoft.com/office/excel/2006/main" uri="{78C0D931-6437-407d-A8EE-F0AAD7539E65}">
      <x14:conditionalFormattings>
        <x14:conditionalFormatting>
          <x14:cfRule type="dataBar" priority="1" id="{FA442C5D-EB0B-F2C9-BE4D-B86A0D6A06CD}">
            <x14:dataBar gradient="1">
              <x14:cfvo type="min"/>
              <x14:cfvo type="max"/>
              <x14:fillColor rgb="0F766E"/>
            </x14:dataBar>
          </x14:cfRule>
          <xm:sqref>G5:G8</xm:sqref>
        </x14:conditionalFormatting>
      </x14:conditionalFormattings>
    </x:ext>
  </x:extLst>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ht="21.600000381469727" hidden="0" customHeight="1">
      <x:c r="A1" s="5" t="str">
        <x:v>Population by LGA</x:v>
      </x:c>
      <x:c r="B1" s="5"/>
      <x:c r="C1" s="5"/>
      <x:c r="D1" s="5"/>
      <x:c r="E1" s="5"/>
      <x:c r="F1" s="5"/>
      <x:c r="G1" s="5"/>
      <x:c r="H1" s="5"/>
      <x:c r="I1" s="5"/>
      <x:c r="J1" s="5"/>
      <x:c r="K1" s="5"/>
      <x:c r="L1" s="5"/>
      <x:c r="M1" s="5"/>
      <x:c r="N1" s="5"/>
      <x:c r="O1" s="5"/>
    </x:row>
    <x:row r="2" ht="15" hidden="0" customHeight="1">
      <x:c r="A2" s="14" t="str">
        <x:v>This sheet formats the uploaded LGA summary export. The current CSV contains headers only and no LGA data records.</x:v>
      </x:c>
      <x:c r="B2" s="14"/>
      <x:c r="C2" s="14"/>
      <x:c r="D2" s="14"/>
      <x:c r="E2" s="14"/>
      <x:c r="F2" s="14"/>
      <x:c r="G2" s="14"/>
      <x:c r="H2" s="14"/>
      <x:c r="I2" s="14"/>
      <x:c r="J2" s="14"/>
      <x:c r="K2" s="14"/>
      <x:c r="L2" s="14"/>
      <x:c r="M2" s="14"/>
      <x:c r="N2" s="14"/>
      <x:c r="O2" s="14"/>
    </x:row>
    <x:row r="3"/>
    <x:row r="4" ht="15" hidden="0" customHeight="1">
      <x:c r="A4" s="60" t="str">
        <x:v>admin2Name</x:v>
      </x:c>
      <x:c r="B4" s="60" t="str">
        <x:v>count</x:v>
      </x:c>
      <x:c r="C4" s="60" t="str">
        <x:v>unique</x:v>
      </x:c>
      <x:c r="D4" s="60" t="str">
        <x:v>min</x:v>
      </x:c>
      <x:c r="E4" s="60" t="str">
        <x:v>max</x:v>
      </x:c>
      <x:c r="F4" s="60" t="str">
        <x:v>range</x:v>
      </x:c>
      <x:c r="G4" s="60" t="str">
        <x:v>sum</x:v>
      </x:c>
      <x:c r="H4" s="60" t="str">
        <x:v>mean</x:v>
      </x:c>
      <x:c r="I4" s="60" t="str">
        <x:v>median</x:v>
      </x:c>
      <x:c r="J4" s="60" t="str">
        <x:v>stddev</x:v>
      </x:c>
      <x:c r="K4" s="60" t="str">
        <x:v>minority</x:v>
      </x:c>
      <x:c r="L4" s="60" t="str">
        <x:v>majority</x:v>
      </x:c>
      <x:c r="M4" s="60" t="str">
        <x:v>q1</x:v>
      </x:c>
      <x:c r="N4" s="60" t="str">
        <x:v>q3</x:v>
      </x:c>
      <x:c r="O4" s="60" t="str">
        <x:v>iqr</x:v>
      </x:c>
    </x:row>
    <x:row r="5"/>
    <x:row r="6" ht="15" hidden="0" customHeight="1">
      <x:c r="A6" s="146" t="str">
        <x:v>No LGA records were present in the uploaded population_by_lga.csv file. To populate this sheet, rerun the QGIS Statistics by Categories tool after intersecting the scored grid with the pilot LGA boundary layer and using the LGA name field as the category field.</x:v>
      </x:c>
      <x:c r="B6" s="146"/>
      <x:c r="C6" s="146"/>
      <x:c r="D6" s="146"/>
      <x:c r="E6" s="146"/>
      <x:c r="F6" s="146"/>
      <x:c r="G6" s="146"/>
      <x:c r="H6" s="146"/>
      <x:c r="I6" s="146"/>
      <x:c r="J6" s="146"/>
      <x:c r="K6" s="146"/>
      <x:c r="L6" s="146"/>
      <x:c r="M6" s="146"/>
      <x:c r="N6" s="146"/>
      <x:c r="O6" s="146"/>
    </x:row>
    <x:row r="7" ht="15" hidden="0" customHeight="1">
      <x:c r="A7" s="146"/>
      <x:c r="B7" s="146"/>
      <x:c r="C7" s="146"/>
      <x:c r="D7" s="146"/>
      <x:c r="E7" s="146"/>
      <x:c r="F7" s="146"/>
      <x:c r="G7" s="146"/>
      <x:c r="H7" s="146"/>
      <x:c r="I7" s="146"/>
      <x:c r="J7" s="146"/>
      <x:c r="K7" s="146"/>
      <x:c r="L7" s="146"/>
      <x:c r="M7" s="146"/>
      <x:c r="N7" s="146"/>
      <x:c r="O7" s="146"/>
    </x:row>
    <x:row r="8" ht="15" hidden="0" customHeight="1">
      <x:c r="A8" s="146"/>
      <x:c r="B8" s="146"/>
      <x:c r="C8" s="146"/>
      <x:c r="D8" s="146"/>
      <x:c r="E8" s="146"/>
      <x:c r="F8" s="146"/>
      <x:c r="G8" s="146"/>
      <x:c r="H8" s="146"/>
      <x:c r="I8" s="146"/>
      <x:c r="J8" s="146"/>
      <x:c r="K8" s="146"/>
      <x:c r="L8" s="146"/>
      <x:c r="M8" s="146"/>
      <x:c r="N8" s="146"/>
      <x:c r="O8" s="146"/>
    </x:row>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row r="40"/>
  </x:sheetData>
  <x:mergeCells>
    <x:mergeCell ref="A1:O1"/>
    <x:mergeCell ref="A2:O2"/>
    <x:mergeCell ref="A6:O8"/>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34" hidden="0" customWidth="1"/>
    <x:col min="3" max="3" width="28" hidden="0" customWidth="1"/>
    <x:col min="4" max="4" width="40" hidden="0" customWidth="1"/>
  </x:cols>
  <x:sheetData>
    <x:row r="1" ht="21.600000381469727" hidden="0" customHeight="1">
      <x:c r="A1" s="5" t="str">
        <x:v>Data Dictionary and Field Notes</x:v>
      </x:c>
      <x:c r="B1" s="5"/>
      <x:c r="C1" s="5"/>
      <x:c r="D1" s="5"/>
    </x:row>
    <x:row r="2"/>
    <x:row r="3" ht="15" hidden="0" customHeight="1">
      <x:c r="A3" s="60" t="str">
        <x:v>Field</x:v>
      </x:c>
      <x:c r="B3" s="60" t="str">
        <x:v>Meaning</x:v>
      </x:c>
      <x:c r="C3" s="60" t="str">
        <x:v>Typical source</x:v>
      </x:c>
      <x:c r="D3" s="60" t="str">
        <x:v>Notes</x:v>
      </x:c>
    </x:row>
    <x:row r="4" ht="15" hidden="0" customHeight="1">
      <x:c r="A4" s="150" t="str">
        <x:v>risk_class</x:v>
      </x:c>
      <x:c r="B4" s="150" t="str">
        <x:v>Flood-risk category assigned to each grid cell or summary group.</x:v>
      </x:c>
      <x:c r="C4" s="150" t="str">
        <x:v>FloodSight scoring model</x:v>
      </x:c>
      <x:c r="D4" s="150" t="str">
        <x:v>Low, Moderate, High, Very High.</x:v>
      </x:c>
    </x:row>
    <x:row r="5" ht="15" hidden="0" customHeight="1">
      <x:c r="A5" s="150" t="str">
        <x:v>count</x:v>
      </x:c>
      <x:c r="B5" s="150" t="str">
        <x:v>Number of grid cells or records in the category.</x:v>
      </x:c>
      <x:c r="C5" s="150" t="str">
        <x:v>QGIS Statistics by Categories</x:v>
      </x:c>
      <x:c r="D5" s="150" t="str">
        <x:v>Useful for checking class distribution.</x:v>
      </x:c>
    </x:row>
    <x:row r="6" ht="15" hidden="0" customHeight="1">
      <x:c r="A6" s="150" t="str">
        <x:v>sum</x:v>
      </x:c>
      <x:c r="B6" s="150" t="str">
        <x:v>Total estimated population exposure for the category.</x:v>
      </x:c>
      <x:c r="C6" s="150" t="str">
        <x:v>WorldPop-derived pop_sum field</x:v>
      </x:c>
      <x:c r="D6" s="150" t="str">
        <x:v>This is the main impact metric.</x:v>
      </x:c>
    </x:row>
    <x:row r="7" ht="15" hidden="0" customHeight="1">
      <x:c r="A7" s="150" t="str">
        <x:v>mean</x:v>
      </x:c>
      <x:c r="B7" s="150" t="str">
        <x:v>Average population exposure per grid cell.</x:v>
      </x:c>
      <x:c r="C7" s="150" t="str">
        <x:v>QGIS Statistics by Categories</x:v>
      </x:c>
      <x:c r="D7" s="150" t="str">
        <x:v>Useful for density interpretation.</x:v>
      </x:c>
    </x:row>
    <x:row r="8" ht="15" hidden="0" customHeight="1">
      <x:c r="A8" s="150" t="str">
        <x:v>median</x:v>
      </x:c>
      <x:c r="B8" s="150" t="str">
        <x:v>Median population exposure per grid cell.</x:v>
      </x:c>
      <x:c r="C8" s="150" t="str">
        <x:v>QGIS Statistics by Categories</x:v>
      </x:c>
      <x:c r="D8" s="150" t="str">
        <x:v>Robust to outliers.</x:v>
      </x:c>
    </x:row>
    <x:row r="9" ht="15" hidden="0" customHeight="1">
      <x:c r="A9" s="150" t="str">
        <x:v>stddev</x:v>
      </x:c>
      <x:c r="B9" s="150" t="str">
        <x:v>Standard deviation of population exposure.</x:v>
      </x:c>
      <x:c r="C9" s="150" t="str">
        <x:v>QGIS Statistics by Categories</x:v>
      </x:c>
      <x:c r="D9" s="150" t="str">
        <x:v>Higher values indicate uneven distribution.</x:v>
      </x:c>
    </x:row>
    <x:row r="10" ht="15" hidden="0" customHeight="1">
      <x:c r="A10" s="150" t="str">
        <x:v>admin2Name</x:v>
      </x:c>
      <x:c r="B10" s="150" t="str">
        <x:v>LGA name field.</x:v>
      </x:c>
      <x:c r="C10" s="150" t="str">
        <x:v>Nigeria administrative boundary layer</x:v>
      </x:c>
      <x:c r="D10" s="150" t="str">
        <x:v>Used for LGA-level summaries when populated.</x:v>
      </x:c>
    </x:row>
    <x:row r="11"/>
    <x:row r="12"/>
    <x:row r="13"/>
    <x:row r="14"/>
    <x:row r="15"/>
    <x:row r="16"/>
    <x:row r="17"/>
    <x:row r="18"/>
    <x:row r="19"/>
    <x:row r="20"/>
    <x:row r="21"/>
    <x:row r="22"/>
    <x:row r="23"/>
    <x:row r="24"/>
    <x:row r="25"/>
    <x:row r="26"/>
    <x:row r="27"/>
    <x:row r="28"/>
    <x:row r="29"/>
    <x:row r="30"/>
    <x:row r="31"/>
    <x:row r="32"/>
    <x:row r="33"/>
    <x:row r="34"/>
    <x:row r="35"/>
    <x:row r="36"/>
    <x:row r="37"/>
    <x:row r="38"/>
    <x:row r="39"/>
    <x:row r="40"/>
  </x:sheetData>
  <x:mergeCells>
    <x:mergeCell ref="A1:D1"/>
  </x:mergeCells>
  <x:pageMargins left="0.7" right="0.7" top="0.75" bottom="0.75" header="0.3" footer="0.3"/>
  <x:tableParts count="1">
    <x:tablePart xmlns:r="http://schemas.openxmlformats.org/officeDocument/2006/relationships" r:id="R98555360ad234add"/>
  </x:tableParts>
</x:worksheet>
</file>